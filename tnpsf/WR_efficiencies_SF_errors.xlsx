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hihwan/Desktop/"/>
    </mc:Choice>
  </mc:AlternateContent>
  <xr:revisionPtr revIDLastSave="0" documentId="8_{8C5F945E-AE9C-B841-996E-B2AF93A912F1}" xr6:coauthVersionLast="47" xr6:coauthVersionMax="47" xr10:uidLastSave="{00000000-0000-0000-0000-000000000000}"/>
  <bookViews>
    <workbookView xWindow="16700" yWindow="3840" windowWidth="16380" windowHeight="8200" tabRatio="500" xr2:uid="{00000000-000D-0000-FFFF-FFFF00000000}"/>
  </bookViews>
  <sheets>
    <sheet name="Trigger HLT (p2)" sheetId="1" r:id="rId1"/>
    <sheet name="HEEP ID (p6)" sheetId="2" r:id="rId2"/>
    <sheet name="Not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8" i="2" l="1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4" i="2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58" i="1"/>
  <c r="D58" i="1"/>
  <c r="C58" i="1"/>
  <c r="B58" i="1"/>
  <c r="E57" i="1"/>
  <c r="D57" i="1"/>
  <c r="C57" i="1"/>
  <c r="B57" i="1"/>
  <c r="E56" i="1"/>
  <c r="D56" i="1"/>
  <c r="C56" i="1"/>
  <c r="B56" i="1"/>
  <c r="E55" i="1"/>
  <c r="D55" i="1"/>
  <c r="C55" i="1"/>
  <c r="B55" i="1"/>
  <c r="E54" i="1"/>
  <c r="D54" i="1"/>
  <c r="C54" i="1"/>
  <c r="B54" i="1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</calcChain>
</file>

<file path=xl/sharedStrings.xml><?xml version="1.0" encoding="utf-8"?>
<sst xmlns="http://schemas.openxmlformats.org/spreadsheetml/2006/main" count="265" uniqueCount="55">
  <si>
    <t>Electron trigger (HLT) efficiencies  —  CMS Preliminary, 109 fb^-1 (2024)</t>
  </si>
  <si>
    <t>Eta bins: barrel split at eta=0; the ECAL crack regions (|eta| 1.44-1.57) are excluded (white gaps in plots).</t>
  </si>
  <si>
    <t>Data Efficiency</t>
  </si>
  <si>
    <t>pT [GeV] \ eta</t>
  </si>
  <si>
    <t>-2.5 to -1.57</t>
  </si>
  <si>
    <t>-1.44 to 0</t>
  </si>
  <si>
    <t>0 to 1.44</t>
  </si>
  <si>
    <t>1.57 to 2.5</t>
  </si>
  <si>
    <t>&gt;300</t>
  </si>
  <si>
    <t>200-300</t>
  </si>
  <si>
    <t>140-200</t>
  </si>
  <si>
    <t>120-140</t>
  </si>
  <si>
    <t>100-120</t>
  </si>
  <si>
    <t>90-100</t>
  </si>
  <si>
    <t>70-90</t>
  </si>
  <si>
    <t>60-70</t>
  </si>
  <si>
    <t>50-60</t>
  </si>
  <si>
    <t>40-50</t>
  </si>
  <si>
    <t>30-40</t>
  </si>
  <si>
    <t>MC Efficiency</t>
  </si>
  <si>
    <t>Scale Factor (SF)</t>
  </si>
  <si>
    <t>Scale-factor cross-check  =  Data Eff / MC Eff  (formula)</t>
  </si>
  <si>
    <t>relative Data Eff Error [%]</t>
  </si>
  <si>
    <t>relative MC Eff Error [%]</t>
  </si>
  <si>
    <t>relative SF Error [%]</t>
  </si>
  <si>
    <t>HEEP ID efficiencies  —  CMS Preliminary, 109 fb^-1 (2024)</t>
  </si>
  <si>
    <t>100-200</t>
  </si>
  <si>
    <t>80-90</t>
  </si>
  <si>
    <t>70-80</t>
  </si>
  <si>
    <t>45-50</t>
  </si>
  <si>
    <t>40-45</t>
  </si>
  <si>
    <t>35-40</t>
  </si>
  <si>
    <t>Notes &amp; data provenance</t>
  </si>
  <si>
    <t>Source file</t>
  </si>
  <si>
    <t>Alpana_WR_LRSM_update_22June2026.pdf (UMN subgroup meeting, 22 June 2026)</t>
  </si>
  <si>
    <t>Sheet "Trigger HLT (p2)"</t>
  </si>
  <si>
    <t>Values transcribed from slide 2 (electron trigger efficiency 2D maps).</t>
  </si>
  <si>
    <t>Sheet "HEEP ID (p6)"</t>
  </si>
  <si>
    <t>Values transcribed from slide 6 (HEEP ID efficiency 2D maps).</t>
  </si>
  <si>
    <t>Dataset</t>
  </si>
  <si>
    <t>2024 EGamma NanoAOD (Runs C-I); MC = DY NLO amcatnloFXFX-pythia8, 13.6 TeV.</t>
  </si>
  <si>
    <t>pT rows</t>
  </si>
  <si>
    <t>Ordered high -&gt; low, matching the plot top -&gt; bottom. Units GeV.</t>
  </si>
  <si>
    <t>eta columns</t>
  </si>
  <si>
    <t>4 populated bins; the |eta| in [1.44,1.57] crack region is excluded.</t>
  </si>
  <si>
    <t>SF cross-check</t>
  </si>
  <si>
    <t>Italic block computes Data Eff / MC Eff with live formulas; small differences vs plotted SF are expected because the plotted SF comes from the fit, not a raw ratio.</t>
  </si>
  <si>
    <t>Errors</t>
  </si>
  <si>
    <t>Error tables are the relative errors [%] as labeled on the plots.</t>
  </si>
  <si>
    <t>CONFIDENCE — HEEP (p6)</t>
  </si>
  <si>
    <t>High. All cells were well separated and clearly legible.</t>
  </si>
  <si>
    <t>CONFIDENCE — Trigger (p2)</t>
  </si>
  <si>
    <t>High for pT &gt; ~70 GeV. The lowest-pT rows (50-60, 40-50, 30-40) had overlapping printed labels in the source plot; read carefully column-by-column at high zoom, but please spot-check against the original ROOT output.</t>
  </si>
  <si>
    <t>Trigger Data-Eff error artifact</t>
  </si>
  <si>
    <t>The relative-Data-Eff-Error map showed two spurious "188.826" rows below the 30 GeV axis (failed/underflow S+B fit); these are NOT included as real bins.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</si>
</sst>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0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808080"/>
      <name val="Arial"/>
      <family val="2"/>
    </font>
    <font>
      <b/>
      <sz val="11"/>
      <color rgb="FF1F4E7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color rgb="FF555555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나눔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6E4F0"/>
        <bgColor rgb="FFBDD7EE"/>
      </patternFill>
    </fill>
    <fill>
      <patternFill patternType="solid">
        <fgColor rgb="FFBDD7EE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showGridLines="0" tabSelected="1" zoomScaleNormal="100" workbookViewId="0">
      <selection sqref="A1:E1"/>
    </sheetView>
  </sheetViews>
  <sheetFormatPr baseColWidth="10" defaultColWidth="8.6640625" defaultRowHeight="15"/>
  <cols>
    <col min="1" max="1" width="18" customWidth="1"/>
    <col min="2" max="5" width="15" customWidth="1"/>
  </cols>
  <sheetData>
    <row r="1" spans="1:5" ht="21.75" customHeight="1">
      <c r="A1" s="1" t="s">
        <v>0</v>
      </c>
      <c r="B1" s="1"/>
      <c r="C1" s="1"/>
      <c r="D1" s="1"/>
      <c r="E1" s="1"/>
    </row>
    <row r="2" spans="1:5">
      <c r="A2" s="2" t="s">
        <v>1</v>
      </c>
    </row>
    <row r="4" spans="1:5">
      <c r="A4" s="3" t="s">
        <v>2</v>
      </c>
      <c r="B4" s="4"/>
      <c r="C4" s="4"/>
      <c r="D4" s="4"/>
      <c r="E4" s="4"/>
    </row>
    <row r="5" spans="1: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>
      <c r="A6" s="6" t="s">
        <v>8</v>
      </c>
      <c r="B6" s="7">
        <v>0.99</v>
      </c>
      <c r="C6" s="7">
        <v>0.99</v>
      </c>
      <c r="D6" s="7">
        <v>0.99199999999999999</v>
      </c>
      <c r="E6" s="7">
        <v>0.99299999999999999</v>
      </c>
    </row>
    <row r="7" spans="1:5">
      <c r="A7" s="6" t="s">
        <v>9</v>
      </c>
      <c r="B7" s="7">
        <v>0.99399999999999999</v>
      </c>
      <c r="C7" s="7">
        <v>0.99</v>
      </c>
      <c r="D7" s="7">
        <v>0.99</v>
      </c>
      <c r="E7" s="7">
        <v>0.99199999999999999</v>
      </c>
    </row>
    <row r="8" spans="1:5">
      <c r="A8" s="6" t="s">
        <v>10</v>
      </c>
      <c r="B8" s="7">
        <v>0.98799999999999999</v>
      </c>
      <c r="C8" s="7">
        <v>0.97099999999999997</v>
      </c>
      <c r="D8" s="7">
        <v>0.98199999999999998</v>
      </c>
      <c r="E8" s="7">
        <v>0.98799999999999999</v>
      </c>
    </row>
    <row r="9" spans="1:5">
      <c r="A9" s="6" t="s">
        <v>11</v>
      </c>
      <c r="B9" s="7">
        <v>0.98499999999999999</v>
      </c>
      <c r="C9" s="7">
        <v>0.96699999999999997</v>
      </c>
      <c r="D9" s="7">
        <v>0.98199999999999998</v>
      </c>
      <c r="E9" s="7">
        <v>0.98299999999999998</v>
      </c>
    </row>
    <row r="10" spans="1:5">
      <c r="A10" s="6" t="s">
        <v>12</v>
      </c>
      <c r="B10" s="7">
        <v>0.97899999999999998</v>
      </c>
      <c r="C10" s="7">
        <v>0.96599999999999997</v>
      </c>
      <c r="D10" s="7">
        <v>0.97799999999999998</v>
      </c>
      <c r="E10" s="7">
        <v>0.97399999999999998</v>
      </c>
    </row>
    <row r="11" spans="1:5">
      <c r="A11" s="6" t="s">
        <v>13</v>
      </c>
      <c r="B11" s="7">
        <v>0.97799999999999998</v>
      </c>
      <c r="C11" s="7">
        <v>0.96399999999999997</v>
      </c>
      <c r="D11" s="7">
        <v>0.97799999999999998</v>
      </c>
      <c r="E11" s="7">
        <v>0.97399999999999998</v>
      </c>
    </row>
    <row r="12" spans="1:5">
      <c r="A12" s="6" t="s">
        <v>14</v>
      </c>
      <c r="B12" s="7">
        <v>0.97499999999999998</v>
      </c>
      <c r="C12" s="7">
        <v>0.96</v>
      </c>
      <c r="D12" s="7">
        <v>0.97099999999999997</v>
      </c>
      <c r="E12" s="7">
        <v>0.96899999999999997</v>
      </c>
    </row>
    <row r="13" spans="1:5">
      <c r="A13" s="6" t="s">
        <v>15</v>
      </c>
      <c r="B13" s="7">
        <v>0.97099999999999997</v>
      </c>
      <c r="C13" s="7">
        <v>0.95099999999999996</v>
      </c>
      <c r="D13" s="7">
        <v>0.96099999999999997</v>
      </c>
      <c r="E13" s="7">
        <v>0.96399999999999997</v>
      </c>
    </row>
    <row r="14" spans="1:5">
      <c r="A14" s="6" t="s">
        <v>16</v>
      </c>
      <c r="B14" s="7">
        <v>0.94099999999999995</v>
      </c>
      <c r="C14" s="7">
        <v>0.92300000000000004</v>
      </c>
      <c r="D14" s="7">
        <v>0.93400000000000005</v>
      </c>
      <c r="E14" s="7">
        <v>0.93600000000000005</v>
      </c>
    </row>
    <row r="15" spans="1:5">
      <c r="A15" s="6" t="s">
        <v>17</v>
      </c>
      <c r="B15" s="7">
        <v>0.84</v>
      </c>
      <c r="C15" s="7">
        <v>0.83199999999999996</v>
      </c>
      <c r="D15" s="7">
        <v>0.84599999999999997</v>
      </c>
      <c r="E15" s="7">
        <v>0.83599999999999997</v>
      </c>
    </row>
    <row r="16" spans="1:5">
      <c r="A16" s="6" t="s">
        <v>18</v>
      </c>
      <c r="B16" s="7">
        <v>0.80600000000000005</v>
      </c>
      <c r="C16" s="7">
        <v>0.81</v>
      </c>
      <c r="D16" s="7">
        <v>0.81799999999999995</v>
      </c>
      <c r="E16" s="7">
        <v>0.80200000000000005</v>
      </c>
    </row>
    <row r="18" spans="1:5">
      <c r="A18" s="3" t="s">
        <v>19</v>
      </c>
      <c r="B18" s="4"/>
      <c r="C18" s="4"/>
      <c r="D18" s="4"/>
      <c r="E18" s="4"/>
    </row>
    <row r="19" spans="1:5">
      <c r="A19" s="5" t="s">
        <v>3</v>
      </c>
      <c r="B19" s="5" t="s">
        <v>4</v>
      </c>
      <c r="C19" s="5" t="s">
        <v>5</v>
      </c>
      <c r="D19" s="5" t="s">
        <v>6</v>
      </c>
      <c r="E19" s="5" t="s">
        <v>7</v>
      </c>
    </row>
    <row r="20" spans="1:5">
      <c r="A20" s="6" t="s">
        <v>8</v>
      </c>
      <c r="B20" s="7">
        <v>0.997</v>
      </c>
      <c r="C20" s="7">
        <v>0.996</v>
      </c>
      <c r="D20" s="7">
        <v>0.99399999999999999</v>
      </c>
      <c r="E20" s="7">
        <v>0.999</v>
      </c>
    </row>
    <row r="21" spans="1:5">
      <c r="A21" s="6" t="s">
        <v>9</v>
      </c>
      <c r="B21" s="7">
        <v>0.997</v>
      </c>
      <c r="C21" s="7">
        <v>0.995</v>
      </c>
      <c r="D21" s="7">
        <v>0.99399999999999999</v>
      </c>
      <c r="E21" s="7">
        <v>0.998</v>
      </c>
    </row>
    <row r="22" spans="1:5">
      <c r="A22" s="6" t="s">
        <v>10</v>
      </c>
      <c r="B22" s="7">
        <v>0.997</v>
      </c>
      <c r="C22" s="7">
        <v>0.97899999999999998</v>
      </c>
      <c r="D22" s="7">
        <v>0.99</v>
      </c>
      <c r="E22" s="7">
        <v>0.997</v>
      </c>
    </row>
    <row r="23" spans="1:5">
      <c r="A23" s="6" t="s">
        <v>11</v>
      </c>
      <c r="B23" s="7">
        <v>0.99399999999999999</v>
      </c>
      <c r="C23" s="7">
        <v>0.97299999999999998</v>
      </c>
      <c r="D23" s="7">
        <v>0.98599999999999999</v>
      </c>
      <c r="E23" s="7">
        <v>0.99299999999999999</v>
      </c>
    </row>
    <row r="24" spans="1:5">
      <c r="A24" s="6" t="s">
        <v>12</v>
      </c>
      <c r="B24" s="7">
        <v>0.98599999999999999</v>
      </c>
      <c r="C24" s="7">
        <v>0.96699999999999997</v>
      </c>
      <c r="D24" s="7">
        <v>0.98099999999999998</v>
      </c>
      <c r="E24" s="7">
        <v>0.98099999999999998</v>
      </c>
    </row>
    <row r="25" spans="1:5">
      <c r="A25" s="6" t="s">
        <v>13</v>
      </c>
      <c r="B25" s="7">
        <v>0.98199999999999998</v>
      </c>
      <c r="C25" s="7">
        <v>0.96199999999999997</v>
      </c>
      <c r="D25" s="7">
        <v>0.97599999999999998</v>
      </c>
      <c r="E25" s="7">
        <v>0.97699999999999998</v>
      </c>
    </row>
    <row r="26" spans="1:5">
      <c r="A26" s="6" t="s">
        <v>14</v>
      </c>
      <c r="B26" s="7">
        <v>0.97699999999999998</v>
      </c>
      <c r="C26" s="7">
        <v>0.95299999999999996</v>
      </c>
      <c r="D26" s="7">
        <v>0.96499999999999997</v>
      </c>
      <c r="E26" s="7">
        <v>0.97099999999999997</v>
      </c>
    </row>
    <row r="27" spans="1:5">
      <c r="A27" s="6" t="s">
        <v>15</v>
      </c>
      <c r="B27" s="7">
        <v>0.97099999999999997</v>
      </c>
      <c r="C27" s="7">
        <v>0.94099999999999995</v>
      </c>
      <c r="D27" s="7">
        <v>0.95399999999999996</v>
      </c>
      <c r="E27" s="7">
        <v>0.96499999999999997</v>
      </c>
    </row>
    <row r="28" spans="1:5">
      <c r="A28" s="6" t="s">
        <v>16</v>
      </c>
      <c r="B28" s="7">
        <v>0.94</v>
      </c>
      <c r="C28" s="7">
        <v>0.92500000000000004</v>
      </c>
      <c r="D28" s="7">
        <v>0.93700000000000006</v>
      </c>
      <c r="E28" s="7">
        <v>0.93200000000000005</v>
      </c>
    </row>
    <row r="29" spans="1:5">
      <c r="A29" s="6" t="s">
        <v>17</v>
      </c>
      <c r="B29" s="7">
        <v>0.82799999999999996</v>
      </c>
      <c r="C29" s="7">
        <v>0.85399999999999998</v>
      </c>
      <c r="D29" s="7">
        <v>0.86599999999999999</v>
      </c>
      <c r="E29" s="7">
        <v>0.82699999999999996</v>
      </c>
    </row>
    <row r="30" spans="1:5">
      <c r="A30" s="6" t="s">
        <v>18</v>
      </c>
      <c r="B30" s="7">
        <v>0.79900000000000004</v>
      </c>
      <c r="C30" s="7">
        <v>0.82799999999999996</v>
      </c>
      <c r="D30" s="7">
        <v>0.84099999999999997</v>
      </c>
      <c r="E30" s="7">
        <v>0.79700000000000004</v>
      </c>
    </row>
    <row r="32" spans="1:5">
      <c r="A32" s="3" t="s">
        <v>20</v>
      </c>
      <c r="B32" s="4"/>
      <c r="C32" s="4"/>
      <c r="D32" s="4"/>
      <c r="E32" s="4"/>
    </row>
    <row r="33" spans="1:5">
      <c r="A33" s="5" t="s">
        <v>3</v>
      </c>
      <c r="B33" s="5" t="s">
        <v>4</v>
      </c>
      <c r="C33" s="5" t="s">
        <v>5</v>
      </c>
      <c r="D33" s="5" t="s">
        <v>6</v>
      </c>
      <c r="E33" s="5" t="s">
        <v>7</v>
      </c>
    </row>
    <row r="34" spans="1:5">
      <c r="A34" s="6" t="s">
        <v>8</v>
      </c>
      <c r="B34" s="7">
        <v>0.99299999999999999</v>
      </c>
      <c r="C34" s="7">
        <v>0.995</v>
      </c>
      <c r="D34" s="7">
        <v>0.998</v>
      </c>
      <c r="E34" s="7">
        <v>0.99299999999999999</v>
      </c>
    </row>
    <row r="35" spans="1:5">
      <c r="A35" s="6" t="s">
        <v>9</v>
      </c>
      <c r="B35" s="7">
        <v>0.997</v>
      </c>
      <c r="C35" s="7">
        <v>0.995</v>
      </c>
      <c r="D35" s="7">
        <v>0.996</v>
      </c>
      <c r="E35" s="7">
        <v>0.99399999999999999</v>
      </c>
    </row>
    <row r="36" spans="1:5">
      <c r="A36" s="6" t="s">
        <v>10</v>
      </c>
      <c r="B36" s="7">
        <v>0.99</v>
      </c>
      <c r="C36" s="7">
        <v>0.99199999999999999</v>
      </c>
      <c r="D36" s="7">
        <v>0.99299999999999999</v>
      </c>
      <c r="E36" s="7">
        <v>0.99099999999999999</v>
      </c>
    </row>
    <row r="37" spans="1:5">
      <c r="A37" s="6" t="s">
        <v>11</v>
      </c>
      <c r="B37" s="7">
        <v>0.99099999999999999</v>
      </c>
      <c r="C37" s="7">
        <v>0.99399999999999999</v>
      </c>
      <c r="D37" s="7">
        <v>0.996</v>
      </c>
      <c r="E37" s="7">
        <v>0.98899999999999999</v>
      </c>
    </row>
    <row r="38" spans="1:5">
      <c r="A38" s="6" t="s">
        <v>12</v>
      </c>
      <c r="B38" s="7">
        <v>0.99299999999999999</v>
      </c>
      <c r="C38" s="7">
        <v>0.999</v>
      </c>
      <c r="D38" s="7">
        <v>0.997</v>
      </c>
      <c r="E38" s="7">
        <v>0.99</v>
      </c>
    </row>
    <row r="39" spans="1:5">
      <c r="A39" s="6" t="s">
        <v>13</v>
      </c>
      <c r="B39" s="7">
        <v>0.996</v>
      </c>
      <c r="C39" s="7">
        <v>1.002</v>
      </c>
      <c r="D39" s="7">
        <v>1.002</v>
      </c>
      <c r="E39" s="7">
        <v>0.997</v>
      </c>
    </row>
    <row r="40" spans="1:5">
      <c r="A40" s="6" t="s">
        <v>14</v>
      </c>
      <c r="B40" s="7">
        <v>0.998</v>
      </c>
      <c r="C40" s="7">
        <v>1.0069999999999999</v>
      </c>
      <c r="D40" s="7">
        <v>1.006</v>
      </c>
      <c r="E40" s="7">
        <v>0.998</v>
      </c>
    </row>
    <row r="41" spans="1:5">
      <c r="A41" s="6" t="s">
        <v>15</v>
      </c>
      <c r="B41" s="7">
        <v>0.999</v>
      </c>
      <c r="C41" s="7">
        <v>1.01</v>
      </c>
      <c r="D41" s="7">
        <v>1.008</v>
      </c>
      <c r="E41" s="7">
        <v>0.999</v>
      </c>
    </row>
    <row r="42" spans="1:5">
      <c r="A42" s="6" t="s">
        <v>16</v>
      </c>
      <c r="B42" s="7">
        <v>1.002</v>
      </c>
      <c r="C42" s="7">
        <v>0.997</v>
      </c>
      <c r="D42" s="7">
        <v>0.996</v>
      </c>
      <c r="E42" s="7">
        <v>1.004</v>
      </c>
    </row>
    <row r="43" spans="1:5">
      <c r="A43" s="6" t="s">
        <v>17</v>
      </c>
      <c r="B43" s="7">
        <v>1.0129999999999999</v>
      </c>
      <c r="C43" s="7">
        <v>0.98</v>
      </c>
      <c r="D43" s="7">
        <v>0.97699999999999998</v>
      </c>
      <c r="E43" s="7">
        <v>1.0109999999999999</v>
      </c>
    </row>
    <row r="44" spans="1:5">
      <c r="A44" s="6" t="s">
        <v>18</v>
      </c>
      <c r="B44" s="7">
        <v>1.008</v>
      </c>
      <c r="C44" s="7">
        <v>0.92800000000000005</v>
      </c>
      <c r="D44" s="7">
        <v>0.97399999999999998</v>
      </c>
      <c r="E44" s="7">
        <v>1.0069999999999999</v>
      </c>
    </row>
    <row r="46" spans="1:5">
      <c r="A46" s="3" t="s">
        <v>21</v>
      </c>
      <c r="B46" s="4"/>
      <c r="C46" s="4"/>
      <c r="D46" s="4"/>
      <c r="E46" s="4"/>
    </row>
    <row r="47" spans="1:5">
      <c r="A47" s="5" t="s">
        <v>3</v>
      </c>
      <c r="B47" s="5" t="s">
        <v>4</v>
      </c>
      <c r="C47" s="5" t="s">
        <v>5</v>
      </c>
      <c r="D47" s="5" t="s">
        <v>6</v>
      </c>
      <c r="E47" s="5" t="s">
        <v>7</v>
      </c>
    </row>
    <row r="48" spans="1:5">
      <c r="A48" s="6" t="s">
        <v>8</v>
      </c>
      <c r="B48" s="8">
        <f t="shared" ref="B48:E58" si="0">B6/B20</f>
        <v>0.99297893681043126</v>
      </c>
      <c r="C48" s="8">
        <f t="shared" si="0"/>
        <v>0.99397590361445787</v>
      </c>
      <c r="D48" s="8">
        <f t="shared" si="0"/>
        <v>0.99798792756539234</v>
      </c>
      <c r="E48" s="8">
        <f t="shared" si="0"/>
        <v>0.99399399399399402</v>
      </c>
    </row>
    <row r="49" spans="1:5">
      <c r="A49" s="6" t="s">
        <v>9</v>
      </c>
      <c r="B49" s="8">
        <f t="shared" si="0"/>
        <v>0.99699097291875627</v>
      </c>
      <c r="C49" s="8">
        <f t="shared" si="0"/>
        <v>0.99497487437185927</v>
      </c>
      <c r="D49" s="8">
        <f t="shared" si="0"/>
        <v>0.99597585513078468</v>
      </c>
      <c r="E49" s="8">
        <f t="shared" si="0"/>
        <v>0.9939879759519038</v>
      </c>
    </row>
    <row r="50" spans="1:5">
      <c r="A50" s="6" t="s">
        <v>10</v>
      </c>
      <c r="B50" s="8">
        <f t="shared" si="0"/>
        <v>0.99097291875626881</v>
      </c>
      <c r="C50" s="8">
        <f t="shared" si="0"/>
        <v>0.99182839632277831</v>
      </c>
      <c r="D50" s="8">
        <f t="shared" si="0"/>
        <v>0.99191919191919187</v>
      </c>
      <c r="E50" s="8">
        <f t="shared" si="0"/>
        <v>0.99097291875626881</v>
      </c>
    </row>
    <row r="51" spans="1:5">
      <c r="A51" s="6" t="s">
        <v>11</v>
      </c>
      <c r="B51" s="8">
        <f t="shared" si="0"/>
        <v>0.99094567404426559</v>
      </c>
      <c r="C51" s="8">
        <f t="shared" si="0"/>
        <v>0.99383350462487152</v>
      </c>
      <c r="D51" s="8">
        <f t="shared" si="0"/>
        <v>0.99594320486815413</v>
      </c>
      <c r="E51" s="8">
        <f t="shared" si="0"/>
        <v>0.98992950654582068</v>
      </c>
    </row>
    <row r="52" spans="1:5">
      <c r="A52" s="6" t="s">
        <v>12</v>
      </c>
      <c r="B52" s="8">
        <f t="shared" si="0"/>
        <v>0.99290060851926976</v>
      </c>
      <c r="C52" s="8">
        <f t="shared" si="0"/>
        <v>0.99896587383660806</v>
      </c>
      <c r="D52" s="8">
        <f t="shared" si="0"/>
        <v>0.99694189602446481</v>
      </c>
      <c r="E52" s="8">
        <f t="shared" si="0"/>
        <v>0.99286442405708464</v>
      </c>
    </row>
    <row r="53" spans="1:5">
      <c r="A53" s="6" t="s">
        <v>13</v>
      </c>
      <c r="B53" s="8">
        <f t="shared" si="0"/>
        <v>0.99592668024439923</v>
      </c>
      <c r="C53" s="8">
        <f t="shared" si="0"/>
        <v>1.002079002079002</v>
      </c>
      <c r="D53" s="8">
        <f t="shared" si="0"/>
        <v>1.0020491803278688</v>
      </c>
      <c r="E53" s="8">
        <f t="shared" si="0"/>
        <v>0.9969293756397134</v>
      </c>
    </row>
    <row r="54" spans="1:5">
      <c r="A54" s="6" t="s">
        <v>14</v>
      </c>
      <c r="B54" s="8">
        <f t="shared" si="0"/>
        <v>0.99795291709314227</v>
      </c>
      <c r="C54" s="8">
        <f t="shared" si="0"/>
        <v>1.0073452256033579</v>
      </c>
      <c r="D54" s="8">
        <f t="shared" si="0"/>
        <v>1.0062176165803109</v>
      </c>
      <c r="E54" s="8">
        <f t="shared" si="0"/>
        <v>0.99794026776519051</v>
      </c>
    </row>
    <row r="55" spans="1:5">
      <c r="A55" s="6" t="s">
        <v>15</v>
      </c>
      <c r="B55" s="8">
        <f t="shared" si="0"/>
        <v>1</v>
      </c>
      <c r="C55" s="8">
        <f t="shared" si="0"/>
        <v>1.0106269925611051</v>
      </c>
      <c r="D55" s="8">
        <f t="shared" si="0"/>
        <v>1.0073375262054507</v>
      </c>
      <c r="E55" s="8">
        <f t="shared" si="0"/>
        <v>0.99896373056994814</v>
      </c>
    </row>
    <row r="56" spans="1:5">
      <c r="A56" s="6" t="s">
        <v>16</v>
      </c>
      <c r="B56" s="8">
        <f t="shared" si="0"/>
        <v>1.0010638297872341</v>
      </c>
      <c r="C56" s="8">
        <f t="shared" si="0"/>
        <v>0.99783783783783786</v>
      </c>
      <c r="D56" s="8">
        <f t="shared" si="0"/>
        <v>0.99679829242262541</v>
      </c>
      <c r="E56" s="8">
        <f t="shared" si="0"/>
        <v>1.0042918454935623</v>
      </c>
    </row>
    <row r="57" spans="1:5">
      <c r="A57" s="6" t="s">
        <v>17</v>
      </c>
      <c r="B57" s="8">
        <f t="shared" si="0"/>
        <v>1.0144927536231885</v>
      </c>
      <c r="C57" s="8">
        <f t="shared" si="0"/>
        <v>0.97423887587822011</v>
      </c>
      <c r="D57" s="8">
        <f t="shared" si="0"/>
        <v>0.97690531177829099</v>
      </c>
      <c r="E57" s="8">
        <f t="shared" si="0"/>
        <v>1.0108827085852479</v>
      </c>
    </row>
    <row r="58" spans="1:5">
      <c r="A58" s="6" t="s">
        <v>18</v>
      </c>
      <c r="B58" s="8">
        <f t="shared" si="0"/>
        <v>1.0087609511889863</v>
      </c>
      <c r="C58" s="8">
        <f t="shared" si="0"/>
        <v>0.97826086956521752</v>
      </c>
      <c r="D58" s="8">
        <f t="shared" si="0"/>
        <v>0.97265160523186678</v>
      </c>
      <c r="E58" s="8">
        <f t="shared" si="0"/>
        <v>1.0062735257214555</v>
      </c>
    </row>
    <row r="60" spans="1:5">
      <c r="A60" s="3" t="s">
        <v>22</v>
      </c>
      <c r="B60" s="4"/>
      <c r="C60" s="4"/>
      <c r="D60" s="4"/>
      <c r="E60" s="4"/>
    </row>
    <row r="61" spans="1:5">
      <c r="A61" s="5" t="s">
        <v>3</v>
      </c>
      <c r="B61" s="5" t="s">
        <v>4</v>
      </c>
      <c r="C61" s="5" t="s">
        <v>5</v>
      </c>
      <c r="D61" s="5" t="s">
        <v>6</v>
      </c>
      <c r="E61" s="5" t="s">
        <v>7</v>
      </c>
    </row>
    <row r="62" spans="1:5">
      <c r="A62" s="6" t="s">
        <v>8</v>
      </c>
      <c r="B62" s="7">
        <v>1.6E-2</v>
      </c>
      <c r="C62" s="7">
        <v>0.19900000000000001</v>
      </c>
      <c r="D62" s="7">
        <v>0.23200000000000001</v>
      </c>
      <c r="E62" s="7">
        <v>0.36899999999999999</v>
      </c>
    </row>
    <row r="63" spans="1:5">
      <c r="A63" s="6" t="s">
        <v>9</v>
      </c>
      <c r="B63" s="7">
        <v>8.1000000000000003E-2</v>
      </c>
      <c r="C63" s="7">
        <v>9.5000000000000001E-2</v>
      </c>
      <c r="D63" s="7">
        <v>9.0999999999999998E-2</v>
      </c>
      <c r="E63" s="7">
        <v>0.14699999999999999</v>
      </c>
    </row>
    <row r="64" spans="1:5">
      <c r="A64" s="6" t="s">
        <v>10</v>
      </c>
      <c r="B64" s="7">
        <v>0.108</v>
      </c>
      <c r="C64" s="7">
        <v>8.7999999999999995E-2</v>
      </c>
      <c r="D64" s="7">
        <v>7.0999999999999994E-2</v>
      </c>
      <c r="E64" s="7">
        <v>0.111</v>
      </c>
    </row>
    <row r="65" spans="1:5">
      <c r="A65" s="6" t="s">
        <v>11</v>
      </c>
      <c r="B65" s="7">
        <v>0.123</v>
      </c>
      <c r="C65" s="7">
        <v>0.105</v>
      </c>
      <c r="D65" s="7">
        <v>7.9000000000000001E-2</v>
      </c>
      <c r="E65" s="7">
        <v>0.152</v>
      </c>
    </row>
    <row r="66" spans="1:5">
      <c r="A66" s="6" t="s">
        <v>12</v>
      </c>
      <c r="B66" s="7">
        <v>0.10199999999999999</v>
      </c>
      <c r="C66" s="7">
        <v>0.08</v>
      </c>
      <c r="D66" s="7">
        <v>5.8000000000000003E-2</v>
      </c>
      <c r="E66" s="7">
        <v>0.13200000000000001</v>
      </c>
    </row>
    <row r="67" spans="1:5">
      <c r="A67" s="6" t="s">
        <v>13</v>
      </c>
      <c r="B67" s="7">
        <v>0.12</v>
      </c>
      <c r="C67" s="7">
        <v>9.0999999999999998E-2</v>
      </c>
      <c r="D67" s="7">
        <v>6.6000000000000003E-2</v>
      </c>
      <c r="E67" s="7">
        <v>0.13500000000000001</v>
      </c>
    </row>
    <row r="68" spans="1:5">
      <c r="A68" s="6" t="s">
        <v>14</v>
      </c>
      <c r="B68" s="7">
        <v>6.2E-2</v>
      </c>
      <c r="C68" s="7">
        <v>4.2000000000000003E-2</v>
      </c>
      <c r="D68" s="7">
        <v>3.5999999999999997E-2</v>
      </c>
      <c r="E68" s="7">
        <v>7.2999999999999995E-2</v>
      </c>
    </row>
    <row r="69" spans="1:5">
      <c r="A69" s="6" t="s">
        <v>15</v>
      </c>
      <c r="B69" s="7">
        <v>4.5999999999999999E-2</v>
      </c>
      <c r="C69" s="7">
        <v>3.2000000000000001E-2</v>
      </c>
      <c r="D69" s="7">
        <v>0.03</v>
      </c>
      <c r="E69" s="7">
        <v>4.7E-2</v>
      </c>
    </row>
    <row r="70" spans="1:5">
      <c r="A70" s="6" t="s">
        <v>16</v>
      </c>
      <c r="B70" s="7">
        <v>4.2999999999999997E-2</v>
      </c>
      <c r="C70" s="7">
        <v>2.1000000000000001E-2</v>
      </c>
      <c r="D70" s="7">
        <v>1.4E-2</v>
      </c>
      <c r="E70" s="7">
        <v>0.03</v>
      </c>
    </row>
    <row r="71" spans="1:5">
      <c r="A71" s="6" t="s">
        <v>17</v>
      </c>
      <c r="B71" s="7">
        <v>2.1000000000000001E-2</v>
      </c>
      <c r="C71" s="7">
        <v>1.4999999999999999E-2</v>
      </c>
      <c r="D71" s="7">
        <v>1.4E-2</v>
      </c>
      <c r="E71" s="7">
        <v>2.4E-2</v>
      </c>
    </row>
    <row r="72" spans="1:5">
      <c r="A72" s="6" t="s">
        <v>18</v>
      </c>
      <c r="B72" s="7">
        <v>3.7999999999999999E-2</v>
      </c>
      <c r="C72" s="7">
        <v>2.3E-2</v>
      </c>
      <c r="D72" s="7">
        <v>2.1999999999999999E-2</v>
      </c>
      <c r="E72" s="7">
        <v>3.7999999999999999E-2</v>
      </c>
    </row>
    <row r="74" spans="1:5">
      <c r="A74" s="3" t="s">
        <v>23</v>
      </c>
      <c r="B74" s="4"/>
      <c r="C74" s="4"/>
      <c r="D74" s="4"/>
      <c r="E74" s="4"/>
    </row>
    <row r="75" spans="1:5">
      <c r="A75" s="5" t="s">
        <v>3</v>
      </c>
      <c r="B75" s="5" t="s">
        <v>4</v>
      </c>
      <c r="C75" s="5" t="s">
        <v>5</v>
      </c>
      <c r="D75" s="5" t="s">
        <v>6</v>
      </c>
      <c r="E75" s="5" t="s">
        <v>7</v>
      </c>
    </row>
    <row r="76" spans="1:5">
      <c r="A76" s="6" t="s">
        <v>8</v>
      </c>
      <c r="B76" s="7">
        <v>0.123</v>
      </c>
      <c r="C76" s="7">
        <v>6.9000000000000006E-2</v>
      </c>
      <c r="D76" s="7">
        <v>7.8E-2</v>
      </c>
      <c r="E76" s="7">
        <v>0.05</v>
      </c>
    </row>
    <row r="77" spans="1:5">
      <c r="A77" s="6" t="s">
        <v>9</v>
      </c>
      <c r="B77" s="7">
        <v>4.4999999999999998E-2</v>
      </c>
      <c r="C77" s="7">
        <v>3.2000000000000001E-2</v>
      </c>
      <c r="D77" s="7">
        <v>3.4000000000000002E-2</v>
      </c>
      <c r="E77" s="7">
        <v>3.5999999999999997E-2</v>
      </c>
    </row>
    <row r="78" spans="1:5">
      <c r="A78" s="6" t="s">
        <v>10</v>
      </c>
      <c r="B78" s="7">
        <v>2.8000000000000001E-2</v>
      </c>
      <c r="C78" s="7">
        <v>3.7999999999999999E-2</v>
      </c>
      <c r="D78" s="7">
        <v>2.7E-2</v>
      </c>
      <c r="E78" s="7">
        <v>2.7E-2</v>
      </c>
    </row>
    <row r="79" spans="1:5">
      <c r="A79" s="6" t="s">
        <v>11</v>
      </c>
      <c r="B79" s="7">
        <v>3.7999999999999999E-2</v>
      </c>
      <c r="C79" s="7">
        <v>4.7E-2</v>
      </c>
      <c r="D79" s="7">
        <v>3.3000000000000002E-2</v>
      </c>
      <c r="E79" s="7">
        <v>4.1000000000000002E-2</v>
      </c>
    </row>
    <row r="80" spans="1:5">
      <c r="A80" s="6" t="s">
        <v>12</v>
      </c>
      <c r="B80" s="7">
        <v>4.2000000000000003E-2</v>
      </c>
      <c r="C80" s="7">
        <v>3.6999999999999998E-2</v>
      </c>
      <c r="D80" s="7">
        <v>2.7E-2</v>
      </c>
      <c r="E80" s="7">
        <v>4.8000000000000001E-2</v>
      </c>
    </row>
    <row r="81" spans="1:5">
      <c r="A81" s="6" t="s">
        <v>13</v>
      </c>
      <c r="B81" s="7">
        <v>4.9000000000000002E-2</v>
      </c>
      <c r="C81" s="7">
        <v>4.2000000000000003E-2</v>
      </c>
      <c r="D81" s="7">
        <v>3.3000000000000002E-2</v>
      </c>
      <c r="E81" s="7">
        <v>5.5E-2</v>
      </c>
    </row>
    <row r="82" spans="1:5">
      <c r="A82" s="6" t="s">
        <v>14</v>
      </c>
      <c r="B82" s="7">
        <v>2.5000000000000001E-2</v>
      </c>
      <c r="C82" s="7">
        <v>2.1000000000000001E-2</v>
      </c>
      <c r="D82" s="7">
        <v>1.7999999999999999E-2</v>
      </c>
      <c r="E82" s="7">
        <v>2.7E-2</v>
      </c>
    </row>
    <row r="83" spans="1:5">
      <c r="A83" s="6" t="s">
        <v>15</v>
      </c>
      <c r="B83" s="7">
        <v>2.1000000000000001E-2</v>
      </c>
      <c r="C83" s="7">
        <v>1.7999999999999999E-2</v>
      </c>
      <c r="D83" s="7">
        <v>1.6E-2</v>
      </c>
      <c r="E83" s="7">
        <v>2.3E-2</v>
      </c>
    </row>
    <row r="84" spans="1:5">
      <c r="A84" s="6" t="s">
        <v>16</v>
      </c>
      <c r="B84" s="7">
        <v>1.7999999999999999E-2</v>
      </c>
      <c r="C84" s="7">
        <v>1.2E-2</v>
      </c>
      <c r="D84" s="7">
        <v>1.0999999999999999E-2</v>
      </c>
      <c r="E84" s="7">
        <v>1.9E-2</v>
      </c>
    </row>
    <row r="85" spans="1:5">
      <c r="A85" s="6" t="s">
        <v>17</v>
      </c>
      <c r="B85" s="7">
        <v>1.6E-2</v>
      </c>
      <c r="C85" s="7">
        <v>8.9999999999999993E-3</v>
      </c>
      <c r="D85" s="7">
        <v>8.0000000000000002E-3</v>
      </c>
      <c r="E85" s="7">
        <v>1.6E-2</v>
      </c>
    </row>
    <row r="86" spans="1:5">
      <c r="A86" s="6" t="s">
        <v>18</v>
      </c>
      <c r="B86" s="7">
        <v>2.5999999999999999E-2</v>
      </c>
      <c r="C86" s="7">
        <v>1.4E-2</v>
      </c>
      <c r="D86" s="7">
        <v>1.2999999999999999E-2</v>
      </c>
      <c r="E86" s="7">
        <v>2.5999999999999999E-2</v>
      </c>
    </row>
    <row r="88" spans="1:5">
      <c r="A88" s="3" t="s">
        <v>24</v>
      </c>
      <c r="B88" s="4"/>
      <c r="C88" s="4"/>
      <c r="D88" s="4"/>
      <c r="E88" s="4"/>
    </row>
    <row r="89" spans="1:5">
      <c r="A89" s="5" t="s">
        <v>3</v>
      </c>
      <c r="B89" s="5" t="s">
        <v>4</v>
      </c>
      <c r="C89" s="5" t="s">
        <v>5</v>
      </c>
      <c r="D89" s="5" t="s">
        <v>6</v>
      </c>
      <c r="E89" s="5" t="s">
        <v>7</v>
      </c>
    </row>
    <row r="90" spans="1:5">
      <c r="A90" s="6" t="s">
        <v>8</v>
      </c>
      <c r="B90" s="7">
        <v>0.123</v>
      </c>
      <c r="C90" s="7">
        <v>6.9000000000000006E-2</v>
      </c>
      <c r="D90" s="7">
        <v>0.245</v>
      </c>
      <c r="E90" s="7">
        <v>0.373</v>
      </c>
    </row>
    <row r="91" spans="1:5">
      <c r="A91" s="6" t="s">
        <v>9</v>
      </c>
      <c r="B91" s="7">
        <v>9.1999999999999998E-2</v>
      </c>
      <c r="C91" s="7">
        <v>0.1</v>
      </c>
      <c r="D91" s="7">
        <v>9.7000000000000003E-2</v>
      </c>
      <c r="E91" s="7">
        <v>0.151</v>
      </c>
    </row>
    <row r="92" spans="1:5">
      <c r="A92" s="6" t="s">
        <v>10</v>
      </c>
      <c r="B92" s="7">
        <v>2.8000000000000001E-2</v>
      </c>
      <c r="C92" s="7">
        <v>9.6000000000000002E-2</v>
      </c>
      <c r="D92" s="7">
        <v>7.5999999999999998E-2</v>
      </c>
      <c r="E92" s="7">
        <v>0.114</v>
      </c>
    </row>
    <row r="93" spans="1:5">
      <c r="A93" s="6" t="s">
        <v>11</v>
      </c>
      <c r="B93" s="7">
        <v>0.129</v>
      </c>
      <c r="C93" s="7">
        <v>0.115</v>
      </c>
      <c r="D93" s="7">
        <v>8.5999999999999993E-2</v>
      </c>
      <c r="E93" s="7">
        <v>0.157</v>
      </c>
    </row>
    <row r="94" spans="1:5">
      <c r="A94" s="6" t="s">
        <v>12</v>
      </c>
      <c r="B94" s="7">
        <v>0.11</v>
      </c>
      <c r="C94" s="7">
        <v>8.7999999999999995E-2</v>
      </c>
      <c r="D94" s="7">
        <v>6.4000000000000001E-2</v>
      </c>
      <c r="E94" s="7">
        <v>0.13300000000000001</v>
      </c>
    </row>
    <row r="95" spans="1:5">
      <c r="A95" s="6" t="s">
        <v>13</v>
      </c>
      <c r="B95" s="7">
        <v>0.129</v>
      </c>
      <c r="C95" s="7">
        <v>4.2000000000000003E-2</v>
      </c>
      <c r="D95" s="7">
        <v>7.3999999999999996E-2</v>
      </c>
      <c r="E95" s="7">
        <v>0.14599999999999999</v>
      </c>
    </row>
    <row r="96" spans="1:5">
      <c r="A96" s="6" t="s">
        <v>14</v>
      </c>
      <c r="B96" s="7">
        <v>6.6000000000000003E-2</v>
      </c>
      <c r="C96" s="7">
        <v>4.7E-2</v>
      </c>
      <c r="D96" s="7">
        <v>0.04</v>
      </c>
      <c r="E96" s="7">
        <v>7.8E-2</v>
      </c>
    </row>
    <row r="97" spans="1:5">
      <c r="A97" s="6" t="s">
        <v>15</v>
      </c>
      <c r="B97" s="7">
        <v>5.0999999999999997E-2</v>
      </c>
      <c r="C97" s="7">
        <v>3.6999999999999998E-2</v>
      </c>
      <c r="D97" s="7">
        <v>3.4000000000000002E-2</v>
      </c>
      <c r="E97" s="7">
        <v>5.1999999999999998E-2</v>
      </c>
    </row>
    <row r="98" spans="1:5">
      <c r="A98" s="6" t="s">
        <v>16</v>
      </c>
      <c r="B98" s="7">
        <v>4.5999999999999999E-2</v>
      </c>
      <c r="C98" s="7">
        <v>2.4E-2</v>
      </c>
      <c r="D98" s="7">
        <v>1.7999999999999999E-2</v>
      </c>
      <c r="E98" s="7">
        <v>3.5000000000000003E-2</v>
      </c>
    </row>
    <row r="99" spans="1:5">
      <c r="A99" s="6" t="s">
        <v>17</v>
      </c>
      <c r="B99" s="7">
        <v>2.7E-2</v>
      </c>
      <c r="C99" s="7">
        <v>1.7000000000000001E-2</v>
      </c>
      <c r="D99" s="7">
        <v>1.6E-2</v>
      </c>
      <c r="E99" s="7">
        <v>2.9000000000000001E-2</v>
      </c>
    </row>
    <row r="100" spans="1:5">
      <c r="A100" s="6" t="s">
        <v>18</v>
      </c>
      <c r="B100" s="7">
        <v>4.5999999999999999E-2</v>
      </c>
      <c r="C100" s="7">
        <v>2.7E-2</v>
      </c>
      <c r="D100" s="7">
        <v>2.5000000000000001E-2</v>
      </c>
      <c r="E100" s="7">
        <v>4.5999999999999999E-2</v>
      </c>
    </row>
  </sheetData>
  <mergeCells count="1">
    <mergeCell ref="A1:E1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showGridLines="0" zoomScaleNormal="100" workbookViewId="0"/>
  </sheetViews>
  <sheetFormatPr baseColWidth="10" defaultColWidth="8.6640625" defaultRowHeight="15"/>
  <cols>
    <col min="1" max="1" width="18" customWidth="1"/>
    <col min="2" max="5" width="15" customWidth="1"/>
  </cols>
  <sheetData>
    <row r="1" spans="1:5" ht="21.75" customHeight="1">
      <c r="A1" s="1" t="s">
        <v>25</v>
      </c>
      <c r="B1" s="1"/>
      <c r="C1" s="1"/>
      <c r="D1" s="1"/>
      <c r="E1" s="1"/>
    </row>
    <row r="2" spans="1:5">
      <c r="A2" s="2" t="s">
        <v>1</v>
      </c>
    </row>
    <row r="4" spans="1:5">
      <c r="A4" s="3" t="s">
        <v>2</v>
      </c>
      <c r="B4" s="4"/>
      <c r="C4" s="4"/>
      <c r="D4" s="4"/>
      <c r="E4" s="4"/>
    </row>
    <row r="5" spans="1: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>
      <c r="A6" s="6" t="s">
        <v>8</v>
      </c>
      <c r="B6" s="7">
        <v>0.88500000000000001</v>
      </c>
      <c r="C6" s="7">
        <v>0.91100000000000003</v>
      </c>
      <c r="D6" s="7">
        <v>0.91400000000000003</v>
      </c>
      <c r="E6" s="7">
        <v>0.92800000000000005</v>
      </c>
    </row>
    <row r="7" spans="1:5">
      <c r="A7" s="6" t="s">
        <v>9</v>
      </c>
      <c r="B7" s="7">
        <v>0.876</v>
      </c>
      <c r="C7" s="7">
        <v>0.91300000000000003</v>
      </c>
      <c r="D7" s="7">
        <v>0.90900000000000003</v>
      </c>
      <c r="E7" s="7">
        <v>0.91200000000000003</v>
      </c>
    </row>
    <row r="8" spans="1:5">
      <c r="A8" s="6" t="s">
        <v>26</v>
      </c>
      <c r="B8" s="7">
        <v>0.86699999999999999</v>
      </c>
      <c r="C8" s="7">
        <v>0.90300000000000002</v>
      </c>
      <c r="D8" s="7">
        <v>0.90800000000000003</v>
      </c>
      <c r="E8" s="7">
        <v>0.90500000000000003</v>
      </c>
    </row>
    <row r="9" spans="1:5">
      <c r="A9" s="6" t="s">
        <v>13</v>
      </c>
      <c r="B9" s="7">
        <v>0.871</v>
      </c>
      <c r="C9" s="7">
        <v>0.90600000000000003</v>
      </c>
      <c r="D9" s="7">
        <v>0.91400000000000003</v>
      </c>
      <c r="E9" s="7">
        <v>0.90500000000000003</v>
      </c>
    </row>
    <row r="10" spans="1:5">
      <c r="A10" s="6" t="s">
        <v>27</v>
      </c>
      <c r="B10" s="7">
        <v>0.87</v>
      </c>
      <c r="C10" s="7">
        <v>0.91300000000000003</v>
      </c>
      <c r="D10" s="7">
        <v>0.91800000000000004</v>
      </c>
      <c r="E10" s="7">
        <v>0.90800000000000003</v>
      </c>
    </row>
    <row r="11" spans="1:5">
      <c r="A11" s="6" t="s">
        <v>28</v>
      </c>
      <c r="B11" s="7">
        <v>0.86699999999999999</v>
      </c>
      <c r="C11" s="7">
        <v>0.91</v>
      </c>
      <c r="D11" s="7">
        <v>0.91100000000000003</v>
      </c>
      <c r="E11" s="7">
        <v>0.90600000000000003</v>
      </c>
    </row>
    <row r="12" spans="1:5">
      <c r="A12" s="6" t="s">
        <v>15</v>
      </c>
      <c r="B12" s="7">
        <v>0.85499999999999998</v>
      </c>
      <c r="C12" s="7">
        <v>0.90300000000000002</v>
      </c>
      <c r="D12" s="7">
        <v>0.89400000000000002</v>
      </c>
      <c r="E12" s="7">
        <v>0.89300000000000002</v>
      </c>
    </row>
    <row r="13" spans="1:5">
      <c r="A13" s="6" t="s">
        <v>16</v>
      </c>
      <c r="B13" s="7">
        <v>0.83899999999999997</v>
      </c>
      <c r="C13" s="7">
        <v>0.89100000000000001</v>
      </c>
      <c r="D13" s="7">
        <v>0.89300000000000002</v>
      </c>
      <c r="E13" s="7">
        <v>0.874</v>
      </c>
    </row>
    <row r="14" spans="1:5">
      <c r="A14" s="6" t="s">
        <v>29</v>
      </c>
      <c r="B14" s="7">
        <v>0.82699999999999996</v>
      </c>
      <c r="C14" s="7">
        <v>0.877</v>
      </c>
      <c r="D14" s="7">
        <v>0.88400000000000001</v>
      </c>
      <c r="E14" s="7">
        <v>0.86599999999999999</v>
      </c>
    </row>
    <row r="15" spans="1:5">
      <c r="A15" s="6" t="s">
        <v>30</v>
      </c>
      <c r="B15" s="7">
        <v>0.82799999999999996</v>
      </c>
      <c r="C15" s="7">
        <v>0.875</v>
      </c>
      <c r="D15" s="7">
        <v>0.872</v>
      </c>
      <c r="E15" s="7">
        <v>0.86</v>
      </c>
    </row>
    <row r="16" spans="1:5">
      <c r="A16" s="6" t="s">
        <v>31</v>
      </c>
      <c r="B16" s="7">
        <v>0.79900000000000004</v>
      </c>
      <c r="C16" s="7">
        <v>0.84899999999999998</v>
      </c>
      <c r="D16" s="7">
        <v>0.85</v>
      </c>
      <c r="E16" s="7">
        <v>0.83499999999999996</v>
      </c>
    </row>
    <row r="18" spans="1:5">
      <c r="A18" s="3" t="s">
        <v>19</v>
      </c>
      <c r="B18" s="4"/>
      <c r="C18" s="4"/>
      <c r="D18" s="4"/>
      <c r="E18" s="4"/>
    </row>
    <row r="19" spans="1:5">
      <c r="A19" s="5" t="s">
        <v>3</v>
      </c>
      <c r="B19" s="5" t="s">
        <v>4</v>
      </c>
      <c r="C19" s="5" t="s">
        <v>5</v>
      </c>
      <c r="D19" s="5" t="s">
        <v>6</v>
      </c>
      <c r="E19" s="5" t="s">
        <v>7</v>
      </c>
    </row>
    <row r="20" spans="1:5">
      <c r="A20" s="6" t="s">
        <v>8</v>
      </c>
      <c r="B20" s="7">
        <v>0.91500000000000004</v>
      </c>
      <c r="C20" s="7">
        <v>0.91400000000000003</v>
      </c>
      <c r="D20" s="7">
        <v>0.91600000000000004</v>
      </c>
      <c r="E20" s="7">
        <v>0.91300000000000003</v>
      </c>
    </row>
    <row r="21" spans="1:5">
      <c r="A21" s="6" t="s">
        <v>9</v>
      </c>
      <c r="B21" s="7">
        <v>0.91800000000000004</v>
      </c>
      <c r="C21" s="7">
        <v>0.91900000000000004</v>
      </c>
      <c r="D21" s="7">
        <v>0.92100000000000004</v>
      </c>
      <c r="E21" s="7">
        <v>0.91900000000000004</v>
      </c>
    </row>
    <row r="22" spans="1:5">
      <c r="A22" s="6" t="s">
        <v>26</v>
      </c>
      <c r="B22" s="7">
        <v>0.91400000000000003</v>
      </c>
      <c r="C22" s="7">
        <v>0.92200000000000004</v>
      </c>
      <c r="D22" s="7">
        <v>0.93</v>
      </c>
      <c r="E22" s="7">
        <v>0.91300000000000003</v>
      </c>
    </row>
    <row r="23" spans="1:5">
      <c r="A23" s="6" t="s">
        <v>13</v>
      </c>
      <c r="B23" s="7">
        <v>0.91500000000000004</v>
      </c>
      <c r="C23" s="7">
        <v>0.92500000000000004</v>
      </c>
      <c r="D23" s="7">
        <v>0.93200000000000005</v>
      </c>
      <c r="E23" s="7">
        <v>0.91200000000000003</v>
      </c>
    </row>
    <row r="24" spans="1:5">
      <c r="A24" s="6" t="s">
        <v>27</v>
      </c>
      <c r="B24" s="7">
        <v>0.91200000000000003</v>
      </c>
      <c r="C24" s="7">
        <v>0.92900000000000005</v>
      </c>
      <c r="D24" s="7">
        <v>0.93400000000000005</v>
      </c>
      <c r="E24" s="7">
        <v>0.91100000000000003</v>
      </c>
    </row>
    <row r="25" spans="1:5">
      <c r="A25" s="6" t="s">
        <v>28</v>
      </c>
      <c r="B25" s="7">
        <v>0.90900000000000003</v>
      </c>
      <c r="C25" s="7">
        <v>0.92800000000000005</v>
      </c>
      <c r="D25" s="7">
        <v>0.93300000000000005</v>
      </c>
      <c r="E25" s="7">
        <v>0.90600000000000003</v>
      </c>
    </row>
    <row r="26" spans="1:5">
      <c r="A26" s="6" t="s">
        <v>15</v>
      </c>
      <c r="B26" s="7">
        <v>0.90500000000000003</v>
      </c>
      <c r="C26" s="7">
        <v>0.92700000000000005</v>
      </c>
      <c r="D26" s="7">
        <v>0.93200000000000005</v>
      </c>
      <c r="E26" s="7">
        <v>0.90100000000000002</v>
      </c>
    </row>
    <row r="27" spans="1:5">
      <c r="A27" s="6" t="s">
        <v>16</v>
      </c>
      <c r="B27" s="7">
        <v>0.89400000000000002</v>
      </c>
      <c r="C27" s="7">
        <v>0.92200000000000004</v>
      </c>
      <c r="D27" s="7">
        <v>0.92700000000000005</v>
      </c>
      <c r="E27" s="7">
        <v>0.89100000000000001</v>
      </c>
    </row>
    <row r="28" spans="1:5">
      <c r="A28" s="6" t="s">
        <v>29</v>
      </c>
      <c r="B28" s="7">
        <v>0.89</v>
      </c>
      <c r="C28" s="7">
        <v>0.91900000000000004</v>
      </c>
      <c r="D28" s="7">
        <v>0.92500000000000004</v>
      </c>
      <c r="E28" s="7">
        <v>0.88700000000000001</v>
      </c>
    </row>
    <row r="29" spans="1:5">
      <c r="A29" s="6" t="s">
        <v>30</v>
      </c>
      <c r="B29" s="7">
        <v>0.88</v>
      </c>
      <c r="C29" s="7">
        <v>0.90900000000000003</v>
      </c>
      <c r="D29" s="7">
        <v>0.91600000000000004</v>
      </c>
      <c r="E29" s="7">
        <v>0.876</v>
      </c>
    </row>
    <row r="30" spans="1:5">
      <c r="A30" s="6" t="s">
        <v>31</v>
      </c>
      <c r="B30" s="7">
        <v>0.85599999999999998</v>
      </c>
      <c r="C30" s="7">
        <v>0.88700000000000001</v>
      </c>
      <c r="D30" s="7">
        <v>0.89300000000000002</v>
      </c>
      <c r="E30" s="7">
        <v>0.85199999999999998</v>
      </c>
    </row>
    <row r="32" spans="1:5">
      <c r="A32" s="3" t="s">
        <v>20</v>
      </c>
      <c r="B32" s="4"/>
      <c r="C32" s="4"/>
      <c r="D32" s="4"/>
      <c r="E32" s="4"/>
    </row>
    <row r="33" spans="1:5">
      <c r="A33" s="5" t="s">
        <v>3</v>
      </c>
      <c r="B33" s="5" t="s">
        <v>4</v>
      </c>
      <c r="C33" s="5" t="s">
        <v>5</v>
      </c>
      <c r="D33" s="5" t="s">
        <v>6</v>
      </c>
      <c r="E33" s="5" t="s">
        <v>7</v>
      </c>
    </row>
    <row r="34" spans="1:5">
      <c r="A34" s="6" t="s">
        <v>8</v>
      </c>
      <c r="B34" s="7">
        <v>0.96699999999999997</v>
      </c>
      <c r="C34" s="7">
        <v>0.997</v>
      </c>
      <c r="D34" s="7">
        <v>0.997</v>
      </c>
      <c r="E34" s="7">
        <v>1.0169999999999999</v>
      </c>
    </row>
    <row r="35" spans="1:5">
      <c r="A35" s="6" t="s">
        <v>9</v>
      </c>
      <c r="B35" s="7">
        <v>0.95399999999999996</v>
      </c>
      <c r="C35" s="7">
        <v>0.99299999999999999</v>
      </c>
      <c r="D35" s="7">
        <v>0.98699999999999999</v>
      </c>
      <c r="E35" s="7">
        <v>0.99199999999999999</v>
      </c>
    </row>
    <row r="36" spans="1:5">
      <c r="A36" s="6" t="s">
        <v>26</v>
      </c>
      <c r="B36" s="7">
        <v>0.94799999999999995</v>
      </c>
      <c r="C36" s="7">
        <v>0.98</v>
      </c>
      <c r="D36" s="7">
        <v>0.97599999999999998</v>
      </c>
      <c r="E36" s="7">
        <v>0.99099999999999999</v>
      </c>
    </row>
    <row r="37" spans="1:5">
      <c r="A37" s="6" t="s">
        <v>13</v>
      </c>
      <c r="B37" s="7">
        <v>0.95199999999999996</v>
      </c>
      <c r="C37" s="7">
        <v>0.98</v>
      </c>
      <c r="D37" s="7">
        <v>0.98099999999999998</v>
      </c>
      <c r="E37" s="7">
        <v>0.99199999999999999</v>
      </c>
    </row>
    <row r="38" spans="1:5">
      <c r="A38" s="6" t="s">
        <v>27</v>
      </c>
      <c r="B38" s="7">
        <v>0.95399999999999996</v>
      </c>
      <c r="C38" s="7">
        <v>0.98299999999999998</v>
      </c>
      <c r="D38" s="7">
        <v>0.98199999999999998</v>
      </c>
      <c r="E38" s="7">
        <v>0.997</v>
      </c>
    </row>
    <row r="39" spans="1:5">
      <c r="A39" s="6" t="s">
        <v>28</v>
      </c>
      <c r="B39" s="7">
        <v>0.95399999999999996</v>
      </c>
      <c r="C39" s="7">
        <v>0.98199999999999998</v>
      </c>
      <c r="D39" s="7">
        <v>0.97699999999999998</v>
      </c>
      <c r="E39" s="7">
        <v>0.999</v>
      </c>
    </row>
    <row r="40" spans="1:5">
      <c r="A40" s="6" t="s">
        <v>15</v>
      </c>
      <c r="B40" s="7">
        <v>0.94599999999999995</v>
      </c>
      <c r="C40" s="7">
        <v>0.97399999999999998</v>
      </c>
      <c r="D40" s="7">
        <v>0.96</v>
      </c>
      <c r="E40" s="7">
        <v>0.99099999999999999</v>
      </c>
    </row>
    <row r="41" spans="1:5">
      <c r="A41" s="6" t="s">
        <v>16</v>
      </c>
      <c r="B41" s="7">
        <v>0.93799999999999994</v>
      </c>
      <c r="C41" s="7">
        <v>0.96599999999999997</v>
      </c>
      <c r="D41" s="7">
        <v>0.96299999999999997</v>
      </c>
      <c r="E41" s="7">
        <v>0.98099999999999998</v>
      </c>
    </row>
    <row r="42" spans="1:5">
      <c r="A42" s="6" t="s">
        <v>29</v>
      </c>
      <c r="B42" s="7">
        <v>0.92900000000000005</v>
      </c>
      <c r="C42" s="7">
        <v>0.95399999999999996</v>
      </c>
      <c r="D42" s="7">
        <v>0.95599999999999996</v>
      </c>
      <c r="E42" s="7">
        <v>0.97599999999999998</v>
      </c>
    </row>
    <row r="43" spans="1:5">
      <c r="A43" s="6" t="s">
        <v>30</v>
      </c>
      <c r="B43" s="7">
        <v>0.94199999999999995</v>
      </c>
      <c r="C43" s="7">
        <v>0.96199999999999997</v>
      </c>
      <c r="D43" s="7">
        <v>0.95299999999999996</v>
      </c>
      <c r="E43" s="7">
        <v>0.98199999999999998</v>
      </c>
    </row>
    <row r="44" spans="1:5">
      <c r="A44" s="6" t="s">
        <v>31</v>
      </c>
      <c r="B44" s="7">
        <v>0.93300000000000005</v>
      </c>
      <c r="C44" s="7">
        <v>0.95699999999999996</v>
      </c>
      <c r="D44" s="7">
        <v>0.95199999999999996</v>
      </c>
      <c r="E44" s="7">
        <v>0.97899999999999998</v>
      </c>
    </row>
    <row r="46" spans="1:5">
      <c r="A46" s="3" t="s">
        <v>21</v>
      </c>
      <c r="B46" s="4"/>
      <c r="C46" s="4"/>
      <c r="D46" s="4"/>
      <c r="E46" s="4"/>
    </row>
    <row r="47" spans="1:5">
      <c r="A47" s="5" t="s">
        <v>3</v>
      </c>
      <c r="B47" s="5" t="s">
        <v>4</v>
      </c>
      <c r="C47" s="5" t="s">
        <v>5</v>
      </c>
      <c r="D47" s="5" t="s">
        <v>6</v>
      </c>
      <c r="E47" s="5" t="s">
        <v>7</v>
      </c>
    </row>
    <row r="48" spans="1:5">
      <c r="A48" s="6" t="s">
        <v>8</v>
      </c>
      <c r="B48" s="8">
        <f t="shared" ref="B48:E58" si="0">B6/B20</f>
        <v>0.96721311475409832</v>
      </c>
      <c r="C48" s="8">
        <f t="shared" si="0"/>
        <v>0.99671772428884031</v>
      </c>
      <c r="D48" s="8">
        <f t="shared" si="0"/>
        <v>0.99781659388646293</v>
      </c>
      <c r="E48" s="8">
        <f t="shared" si="0"/>
        <v>1.0164293537787514</v>
      </c>
    </row>
    <row r="49" spans="1:5">
      <c r="A49" s="6" t="s">
        <v>9</v>
      </c>
      <c r="B49" s="8">
        <f t="shared" si="0"/>
        <v>0.95424836601307184</v>
      </c>
      <c r="C49" s="8">
        <f t="shared" si="0"/>
        <v>0.9934711643090316</v>
      </c>
      <c r="D49" s="8">
        <f t="shared" si="0"/>
        <v>0.98697068403908794</v>
      </c>
      <c r="E49" s="8">
        <f t="shared" si="0"/>
        <v>0.99238302502720344</v>
      </c>
    </row>
    <row r="50" spans="1:5">
      <c r="A50" s="6" t="s">
        <v>26</v>
      </c>
      <c r="B50" s="8">
        <f t="shared" si="0"/>
        <v>0.94857768052516411</v>
      </c>
      <c r="C50" s="8">
        <f t="shared" si="0"/>
        <v>0.97939262472885036</v>
      </c>
      <c r="D50" s="8">
        <f t="shared" si="0"/>
        <v>0.97634408602150535</v>
      </c>
      <c r="E50" s="8">
        <f t="shared" si="0"/>
        <v>0.99123767798466589</v>
      </c>
    </row>
    <row r="51" spans="1:5">
      <c r="A51" s="6" t="s">
        <v>13</v>
      </c>
      <c r="B51" s="8">
        <f t="shared" si="0"/>
        <v>0.9519125683060109</v>
      </c>
      <c r="C51" s="8">
        <f t="shared" si="0"/>
        <v>0.97945945945945945</v>
      </c>
      <c r="D51" s="8">
        <f t="shared" si="0"/>
        <v>0.9806866952789699</v>
      </c>
      <c r="E51" s="8">
        <f t="shared" si="0"/>
        <v>0.99232456140350878</v>
      </c>
    </row>
    <row r="52" spans="1:5">
      <c r="A52" s="6" t="s">
        <v>27</v>
      </c>
      <c r="B52" s="8">
        <f t="shared" si="0"/>
        <v>0.95394736842105254</v>
      </c>
      <c r="C52" s="8">
        <f t="shared" si="0"/>
        <v>0.98277717976318624</v>
      </c>
      <c r="D52" s="8">
        <f t="shared" si="0"/>
        <v>0.98286937901498928</v>
      </c>
      <c r="E52" s="8">
        <f t="shared" si="0"/>
        <v>0.99670691547749724</v>
      </c>
    </row>
    <row r="53" spans="1:5">
      <c r="A53" s="6" t="s">
        <v>28</v>
      </c>
      <c r="B53" s="8">
        <f t="shared" si="0"/>
        <v>0.95379537953795379</v>
      </c>
      <c r="C53" s="8">
        <f t="shared" si="0"/>
        <v>0.9806034482758621</v>
      </c>
      <c r="D53" s="8">
        <f t="shared" si="0"/>
        <v>0.97642015005359051</v>
      </c>
      <c r="E53" s="8">
        <f t="shared" si="0"/>
        <v>1</v>
      </c>
    </row>
    <row r="54" spans="1:5">
      <c r="A54" s="6" t="s">
        <v>15</v>
      </c>
      <c r="B54" s="8">
        <f t="shared" si="0"/>
        <v>0.94475138121546953</v>
      </c>
      <c r="C54" s="8">
        <f t="shared" si="0"/>
        <v>0.97411003236245952</v>
      </c>
      <c r="D54" s="8">
        <f t="shared" si="0"/>
        <v>0.95922746781115875</v>
      </c>
      <c r="E54" s="8">
        <f t="shared" si="0"/>
        <v>0.99112097669256383</v>
      </c>
    </row>
    <row r="55" spans="1:5">
      <c r="A55" s="6" t="s">
        <v>16</v>
      </c>
      <c r="B55" s="8">
        <f t="shared" si="0"/>
        <v>0.93847874720357938</v>
      </c>
      <c r="C55" s="8">
        <f t="shared" si="0"/>
        <v>0.96637744034707151</v>
      </c>
      <c r="D55" s="8">
        <f t="shared" si="0"/>
        <v>0.96332254584681765</v>
      </c>
      <c r="E55" s="8">
        <f t="shared" si="0"/>
        <v>0.98092031425364756</v>
      </c>
    </row>
    <row r="56" spans="1:5">
      <c r="A56" s="6" t="s">
        <v>29</v>
      </c>
      <c r="B56" s="8">
        <f t="shared" si="0"/>
        <v>0.92921348314606733</v>
      </c>
      <c r="C56" s="8">
        <f t="shared" si="0"/>
        <v>0.95429815016322084</v>
      </c>
      <c r="D56" s="8">
        <f t="shared" si="0"/>
        <v>0.95567567567567568</v>
      </c>
      <c r="E56" s="8">
        <f t="shared" si="0"/>
        <v>0.97632468996617816</v>
      </c>
    </row>
    <row r="57" spans="1:5">
      <c r="A57" s="6" t="s">
        <v>30</v>
      </c>
      <c r="B57" s="8">
        <f t="shared" si="0"/>
        <v>0.94090909090909081</v>
      </c>
      <c r="C57" s="8">
        <f t="shared" si="0"/>
        <v>0.96259625962596251</v>
      </c>
      <c r="D57" s="8">
        <f t="shared" si="0"/>
        <v>0.95196506550218341</v>
      </c>
      <c r="E57" s="8">
        <f t="shared" si="0"/>
        <v>0.9817351598173516</v>
      </c>
    </row>
    <row r="58" spans="1:5">
      <c r="A58" s="6" t="s">
        <v>31</v>
      </c>
      <c r="B58" s="8">
        <f t="shared" si="0"/>
        <v>0.93341121495327106</v>
      </c>
      <c r="C58" s="8">
        <f t="shared" si="0"/>
        <v>0.95715896279594137</v>
      </c>
      <c r="D58" s="8">
        <f t="shared" si="0"/>
        <v>0.95184770436730115</v>
      </c>
      <c r="E58" s="8">
        <f t="shared" si="0"/>
        <v>0.9800469483568075</v>
      </c>
    </row>
    <row r="60" spans="1:5">
      <c r="A60" s="3" t="s">
        <v>22</v>
      </c>
      <c r="B60" s="4"/>
      <c r="C60" s="4"/>
      <c r="D60" s="4"/>
      <c r="E60" s="4"/>
    </row>
    <row r="61" spans="1:5">
      <c r="A61" s="5" t="s">
        <v>3</v>
      </c>
      <c r="B61" s="5" t="s">
        <v>4</v>
      </c>
      <c r="C61" s="5" t="s">
        <v>5</v>
      </c>
      <c r="D61" s="5" t="s">
        <v>6</v>
      </c>
      <c r="E61" s="5" t="s">
        <v>7</v>
      </c>
    </row>
    <row r="62" spans="1:5">
      <c r="A62" s="6" t="s">
        <v>8</v>
      </c>
      <c r="B62" s="7">
        <v>1.8660000000000001</v>
      </c>
      <c r="C62" s="7">
        <v>0.69799999999999995</v>
      </c>
      <c r="D62" s="7">
        <v>6.0000000000000001E-3</v>
      </c>
      <c r="E62" s="7">
        <v>1.5720000000000001</v>
      </c>
    </row>
    <row r="63" spans="1:5">
      <c r="A63" s="6" t="s">
        <v>9</v>
      </c>
      <c r="B63" s="7">
        <v>0.84699999999999998</v>
      </c>
      <c r="C63" s="7">
        <v>0.38600000000000001</v>
      </c>
      <c r="D63" s="7">
        <v>0.34599999999999997</v>
      </c>
      <c r="E63" s="7">
        <v>0.69799999999999995</v>
      </c>
    </row>
    <row r="64" spans="1:5">
      <c r="A64" s="6" t="s">
        <v>26</v>
      </c>
      <c r="B64" s="7">
        <v>0.22600000000000001</v>
      </c>
      <c r="C64" s="7">
        <v>2.1000000000000001E-2</v>
      </c>
      <c r="D64" s="7">
        <v>0.1</v>
      </c>
      <c r="E64" s="7">
        <v>0.19700000000000001</v>
      </c>
    </row>
    <row r="65" spans="1:5">
      <c r="A65" s="6" t="s">
        <v>13</v>
      </c>
      <c r="B65" s="7">
        <v>0.34799999999999998</v>
      </c>
      <c r="C65" s="7">
        <v>0.16800000000000001</v>
      </c>
      <c r="D65" s="7">
        <v>0.155</v>
      </c>
      <c r="E65" s="7">
        <v>0.30099999999999999</v>
      </c>
    </row>
    <row r="66" spans="1:5">
      <c r="A66" s="6" t="s">
        <v>27</v>
      </c>
      <c r="B66" s="7">
        <v>0.27700000000000002</v>
      </c>
      <c r="C66" s="7">
        <v>0.13200000000000001</v>
      </c>
      <c r="D66" s="7">
        <v>0.124</v>
      </c>
      <c r="E66" s="7">
        <v>0.24199999999999999</v>
      </c>
    </row>
    <row r="67" spans="1:5">
      <c r="A67" s="6" t="s">
        <v>28</v>
      </c>
      <c r="B67" s="7">
        <v>0.222</v>
      </c>
      <c r="C67" s="7">
        <v>8.7999999999999995E-2</v>
      </c>
      <c r="D67" s="7">
        <v>8.3000000000000004E-2</v>
      </c>
      <c r="E67" s="7">
        <v>0.191</v>
      </c>
    </row>
    <row r="68" spans="1:5">
      <c r="A68" s="6" t="s">
        <v>15</v>
      </c>
      <c r="B68" s="7">
        <v>0.125</v>
      </c>
      <c r="C68" s="7">
        <v>5.7000000000000002E-2</v>
      </c>
      <c r="D68" s="7">
        <v>5.2999999999999999E-2</v>
      </c>
      <c r="E68" s="7">
        <v>0.112</v>
      </c>
    </row>
    <row r="69" spans="1:5">
      <c r="A69" s="6" t="s">
        <v>16</v>
      </c>
      <c r="B69" s="7">
        <v>5.8999999999999997E-2</v>
      </c>
      <c r="C69" s="7">
        <v>2.8000000000000001E-2</v>
      </c>
      <c r="D69" s="7">
        <v>0</v>
      </c>
      <c r="E69" s="7">
        <v>5.2999999999999999E-2</v>
      </c>
    </row>
    <row r="70" spans="1:5">
      <c r="A70" s="6" t="s">
        <v>29</v>
      </c>
      <c r="B70" s="7">
        <v>5.2999999999999999E-2</v>
      </c>
      <c r="C70" s="7">
        <v>0.02</v>
      </c>
      <c r="D70" s="7">
        <v>1.9E-2</v>
      </c>
      <c r="E70" s="7">
        <v>3.5000000000000003E-2</v>
      </c>
    </row>
    <row r="71" spans="1:5">
      <c r="A71" s="6" t="s">
        <v>30</v>
      </c>
      <c r="B71" s="7">
        <v>2.9000000000000001E-2</v>
      </c>
      <c r="C71" s="7">
        <v>2.1999999999999999E-2</v>
      </c>
      <c r="D71" s="7">
        <v>1.7000000000000001E-2</v>
      </c>
      <c r="E71" s="7">
        <v>3.1E-2</v>
      </c>
    </row>
    <row r="72" spans="1:5">
      <c r="A72" s="6" t="s">
        <v>31</v>
      </c>
      <c r="B72" s="7">
        <v>3.5999999999999997E-2</v>
      </c>
      <c r="C72" s="7">
        <v>2.1999999999999999E-2</v>
      </c>
      <c r="D72" s="7">
        <v>2.1999999999999999E-2</v>
      </c>
      <c r="E72" s="7">
        <v>3.2000000000000001E-2</v>
      </c>
    </row>
    <row r="74" spans="1:5">
      <c r="A74" s="3" t="s">
        <v>23</v>
      </c>
      <c r="B74" s="4"/>
      <c r="C74" s="4"/>
      <c r="D74" s="4"/>
      <c r="E74" s="4"/>
    </row>
    <row r="75" spans="1:5">
      <c r="A75" s="5" t="s">
        <v>3</v>
      </c>
      <c r="B75" s="5" t="s">
        <v>4</v>
      </c>
      <c r="C75" s="5" t="s">
        <v>5</v>
      </c>
      <c r="D75" s="5" t="s">
        <v>6</v>
      </c>
      <c r="E75" s="5" t="s">
        <v>7</v>
      </c>
    </row>
    <row r="76" spans="1:5">
      <c r="A76" s="6" t="s">
        <v>8</v>
      </c>
      <c r="B76" s="7">
        <v>0.59299999999999997</v>
      </c>
      <c r="C76" s="7">
        <v>0.26500000000000001</v>
      </c>
      <c r="D76" s="7">
        <v>0.25800000000000001</v>
      </c>
      <c r="E76" s="7">
        <v>0.60299999999999998</v>
      </c>
    </row>
    <row r="77" spans="1:5">
      <c r="A77" s="6" t="s">
        <v>9</v>
      </c>
      <c r="B77" s="7">
        <v>0.255</v>
      </c>
      <c r="C77" s="7">
        <v>0.13200000000000001</v>
      </c>
      <c r="D77" s="7">
        <v>0.128</v>
      </c>
      <c r="E77" s="7">
        <v>0.255</v>
      </c>
    </row>
    <row r="78" spans="1:5">
      <c r="A78" s="6" t="s">
        <v>26</v>
      </c>
      <c r="B78" s="7">
        <v>7.2999999999999995E-2</v>
      </c>
      <c r="C78" s="7">
        <v>3.9E-2</v>
      </c>
      <c r="D78" s="7">
        <v>3.6999999999999998E-2</v>
      </c>
      <c r="E78" s="7">
        <v>7.3999999999999996E-2</v>
      </c>
    </row>
    <row r="79" spans="1:5">
      <c r="A79" s="6" t="s">
        <v>13</v>
      </c>
      <c r="B79" s="7">
        <v>0.107</v>
      </c>
      <c r="C79" s="7">
        <v>5.8000000000000003E-2</v>
      </c>
      <c r="D79" s="7">
        <v>5.5E-2</v>
      </c>
      <c r="E79" s="7">
        <v>0.108</v>
      </c>
    </row>
    <row r="80" spans="1:5">
      <c r="A80" s="6" t="s">
        <v>27</v>
      </c>
      <c r="B80" s="7">
        <v>8.3000000000000004E-2</v>
      </c>
      <c r="C80" s="7">
        <v>4.3999999999999997E-2</v>
      </c>
      <c r="D80" s="7">
        <v>4.2000000000000003E-2</v>
      </c>
      <c r="E80" s="7">
        <v>8.4000000000000005E-2</v>
      </c>
    </row>
    <row r="81" spans="1:5">
      <c r="A81" s="6" t="s">
        <v>28</v>
      </c>
      <c r="B81" s="7">
        <v>0.06</v>
      </c>
      <c r="C81" s="7">
        <v>3.2000000000000001E-2</v>
      </c>
      <c r="D81" s="7">
        <v>0.03</v>
      </c>
      <c r="E81" s="7">
        <v>6.0999999999999999E-2</v>
      </c>
    </row>
    <row r="82" spans="1:5">
      <c r="A82" s="6" t="s">
        <v>15</v>
      </c>
      <c r="B82" s="7">
        <v>3.7999999999999999E-2</v>
      </c>
      <c r="C82" s="7">
        <v>0.02</v>
      </c>
      <c r="D82" s="7">
        <v>1.9E-2</v>
      </c>
      <c r="E82" s="7">
        <v>3.9E-2</v>
      </c>
    </row>
    <row r="83" spans="1:5">
      <c r="A83" s="6" t="s">
        <v>16</v>
      </c>
      <c r="B83" s="7">
        <v>2.3E-2</v>
      </c>
      <c r="C83" s="7">
        <v>1.2E-2</v>
      </c>
      <c r="D83" s="7">
        <v>1.0999999999999999E-2</v>
      </c>
      <c r="E83" s="7">
        <v>2.3E-2</v>
      </c>
    </row>
    <row r="84" spans="1:5">
      <c r="A84" s="6" t="s">
        <v>29</v>
      </c>
      <c r="B84" s="7">
        <v>1.9E-2</v>
      </c>
      <c r="C84" s="7">
        <v>0.01</v>
      </c>
      <c r="D84" s="7">
        <v>0.01</v>
      </c>
      <c r="E84" s="7">
        <v>1.9E-2</v>
      </c>
    </row>
    <row r="85" spans="1:5">
      <c r="A85" s="6" t="s">
        <v>30</v>
      </c>
      <c r="B85" s="7">
        <v>1.7000000000000001E-2</v>
      </c>
      <c r="C85" s="7">
        <v>8.9999999999999993E-3</v>
      </c>
      <c r="D85" s="7">
        <v>8.0000000000000002E-3</v>
      </c>
      <c r="E85" s="7">
        <v>1.7000000000000001E-2</v>
      </c>
    </row>
    <row r="86" spans="1:5">
      <c r="A86" s="6" t="s">
        <v>31</v>
      </c>
      <c r="B86" s="7">
        <v>0.02</v>
      </c>
      <c r="C86" s="7">
        <v>0.01</v>
      </c>
      <c r="D86" s="7">
        <v>0.01</v>
      </c>
      <c r="E86" s="7">
        <v>0.02</v>
      </c>
    </row>
    <row r="88" spans="1:5">
      <c r="A88" s="3" t="s">
        <v>24</v>
      </c>
      <c r="B88" s="4"/>
      <c r="C88" s="4"/>
      <c r="D88" s="4"/>
      <c r="E88" s="4"/>
    </row>
    <row r="89" spans="1:5">
      <c r="A89" s="5" t="s">
        <v>3</v>
      </c>
      <c r="B89" s="5" t="s">
        <v>4</v>
      </c>
      <c r="C89" s="5" t="s">
        <v>5</v>
      </c>
      <c r="D89" s="5" t="s">
        <v>6</v>
      </c>
      <c r="E89" s="5" t="s">
        <v>7</v>
      </c>
    </row>
    <row r="90" spans="1:5">
      <c r="A90" s="6" t="s">
        <v>8</v>
      </c>
      <c r="B90" s="7">
        <v>1.958</v>
      </c>
      <c r="C90" s="7">
        <v>0.747</v>
      </c>
      <c r="D90" s="7">
        <v>0.25800000000000001</v>
      </c>
      <c r="E90" s="7">
        <v>1.6839999999999999</v>
      </c>
    </row>
    <row r="91" spans="1:5">
      <c r="A91" s="6" t="s">
        <v>9</v>
      </c>
      <c r="B91" s="7">
        <v>0.88400000000000001</v>
      </c>
      <c r="C91" s="7">
        <v>0.40799999999999997</v>
      </c>
      <c r="D91" s="7">
        <v>0.36899999999999999</v>
      </c>
      <c r="E91" s="7">
        <v>0.74299999999999999</v>
      </c>
    </row>
    <row r="92" spans="1:5">
      <c r="A92" s="6" t="s">
        <v>26</v>
      </c>
      <c r="B92" s="7">
        <v>0.23799999999999999</v>
      </c>
      <c r="C92" s="7">
        <v>4.4999999999999998E-2</v>
      </c>
      <c r="D92" s="7">
        <v>0.106</v>
      </c>
      <c r="E92" s="7">
        <v>0.21</v>
      </c>
    </row>
    <row r="93" spans="1:5">
      <c r="A93" s="6" t="s">
        <v>13</v>
      </c>
      <c r="B93" s="7">
        <v>0.36499999999999999</v>
      </c>
      <c r="C93" s="7">
        <v>0.17799999999999999</v>
      </c>
      <c r="D93" s="7">
        <v>0.16500000000000001</v>
      </c>
      <c r="E93" s="7">
        <v>0.32</v>
      </c>
    </row>
    <row r="94" spans="1:5">
      <c r="A94" s="6" t="s">
        <v>27</v>
      </c>
      <c r="B94" s="7">
        <v>0.28999999999999998</v>
      </c>
      <c r="C94" s="7">
        <v>0.13900000000000001</v>
      </c>
      <c r="D94" s="7">
        <v>0.13</v>
      </c>
      <c r="E94" s="7">
        <v>0.25600000000000001</v>
      </c>
    </row>
    <row r="95" spans="1:5">
      <c r="A95" s="6" t="s">
        <v>28</v>
      </c>
      <c r="B95" s="7">
        <v>0.23</v>
      </c>
      <c r="C95" s="7">
        <v>9.2999999999999999E-2</v>
      </c>
      <c r="D95" s="7">
        <v>8.7999999999999995E-2</v>
      </c>
      <c r="E95" s="7">
        <v>0.2</v>
      </c>
    </row>
    <row r="96" spans="1:5">
      <c r="A96" s="6" t="s">
        <v>15</v>
      </c>
      <c r="B96" s="7">
        <v>0.13100000000000001</v>
      </c>
      <c r="C96" s="7">
        <v>6.0999999999999999E-2</v>
      </c>
      <c r="D96" s="7">
        <v>5.6000000000000001E-2</v>
      </c>
      <c r="E96" s="7">
        <v>0.11799999999999999</v>
      </c>
    </row>
    <row r="97" spans="1:5">
      <c r="A97" s="6" t="s">
        <v>16</v>
      </c>
      <c r="B97" s="7">
        <v>6.3E-2</v>
      </c>
      <c r="C97" s="7">
        <v>0.03</v>
      </c>
      <c r="D97" s="7">
        <v>1.0999999999999999E-2</v>
      </c>
      <c r="E97" s="7">
        <v>5.8000000000000003E-2</v>
      </c>
    </row>
    <row r="98" spans="1:5">
      <c r="A98" s="6" t="s">
        <v>29</v>
      </c>
      <c r="B98" s="7">
        <v>5.6000000000000001E-2</v>
      </c>
      <c r="C98" s="7">
        <v>2.1999999999999999E-2</v>
      </c>
      <c r="D98" s="7">
        <v>2.1000000000000001E-2</v>
      </c>
      <c r="E98" s="7">
        <v>0.04</v>
      </c>
    </row>
    <row r="99" spans="1:5">
      <c r="A99" s="6" t="s">
        <v>30</v>
      </c>
      <c r="B99" s="7">
        <v>3.3000000000000002E-2</v>
      </c>
      <c r="C99" s="7">
        <v>2.4E-2</v>
      </c>
      <c r="D99" s="7">
        <v>1.9E-2</v>
      </c>
      <c r="E99" s="7">
        <v>3.5999999999999997E-2</v>
      </c>
    </row>
    <row r="100" spans="1:5">
      <c r="A100" s="6" t="s">
        <v>31</v>
      </c>
      <c r="B100" s="7">
        <v>4.1000000000000002E-2</v>
      </c>
      <c r="C100" s="7">
        <v>2.5000000000000001E-2</v>
      </c>
      <c r="D100" s="7">
        <v>2.4E-2</v>
      </c>
      <c r="E100" s="7">
        <v>3.7999999999999999E-2</v>
      </c>
    </row>
  </sheetData>
  <mergeCells count="1">
    <mergeCell ref="A1:E1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zoomScaleNormal="100" workbookViewId="0"/>
  </sheetViews>
  <sheetFormatPr baseColWidth="10" defaultColWidth="8.6640625" defaultRowHeight="15"/>
  <cols>
    <col min="1" max="1" width="32" customWidth="1"/>
    <col min="2" max="2" width="90" customWidth="1"/>
  </cols>
  <sheetData>
    <row r="1" spans="1:2" ht="17">
      <c r="A1" s="1" t="s">
        <v>32</v>
      </c>
      <c r="B1" s="1"/>
    </row>
    <row r="3" spans="1:2">
      <c r="A3" s="9" t="s">
        <v>33</v>
      </c>
      <c r="B3" s="10" t="s">
        <v>34</v>
      </c>
    </row>
    <row r="4" spans="1:2">
      <c r="A4" s="9" t="s">
        <v>35</v>
      </c>
      <c r="B4" s="10" t="s">
        <v>36</v>
      </c>
    </row>
    <row r="5" spans="1:2">
      <c r="A5" s="9" t="s">
        <v>37</v>
      </c>
      <c r="B5" s="10" t="s">
        <v>38</v>
      </c>
    </row>
    <row r="6" spans="1:2">
      <c r="A6" s="9" t="s">
        <v>39</v>
      </c>
      <c r="B6" s="10" t="s">
        <v>40</v>
      </c>
    </row>
    <row r="7" spans="1:2">
      <c r="A7" s="9" t="s">
        <v>41</v>
      </c>
      <c r="B7" s="10" t="s">
        <v>42</v>
      </c>
    </row>
    <row r="8" spans="1:2">
      <c r="A8" s="9" t="s">
        <v>43</v>
      </c>
      <c r="B8" s="10" t="s">
        <v>44</v>
      </c>
    </row>
    <row r="9" spans="1:2" ht="28">
      <c r="A9" s="9" t="s">
        <v>45</v>
      </c>
      <c r="B9" s="10" t="s">
        <v>46</v>
      </c>
    </row>
    <row r="10" spans="1:2">
      <c r="A10" s="9" t="s">
        <v>47</v>
      </c>
      <c r="B10" s="10" t="s">
        <v>48</v>
      </c>
    </row>
    <row r="11" spans="1:2">
      <c r="A11" s="9" t="s">
        <v>49</v>
      </c>
      <c r="B11" s="10" t="s">
        <v>50</v>
      </c>
    </row>
    <row r="12" spans="1:2" ht="28">
      <c r="A12" s="9" t="s">
        <v>51</v>
      </c>
      <c r="B12" s="10" t="s">
        <v>52</v>
      </c>
    </row>
    <row r="13" spans="1:2" ht="28">
      <c r="A13" s="9" t="s">
        <v>53</v>
      </c>
      <c r="B13" s="10" t="s">
        <v>54</v>
      </c>
    </row>
  </sheetData>
  <mergeCells count="1">
    <mergeCell ref="A1:B1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Trigger HLT (p2)</vt:lpstr>
      <vt:lpstr>HEEP ID (p6)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 Chihwan</cp:lastModifiedBy>
  <cp:revision>0</cp:revision>
  <dcterms:created xsi:type="dcterms:W3CDTF">2026-07-07T11:58:50Z</dcterms:created>
  <dcterms:modified xsi:type="dcterms:W3CDTF">2026-07-07T12:01:16Z</dcterms:modified>
  <dc:language>en-US</dc:language>
</cp:coreProperties>
</file>